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4" i="1" l="1"/>
  <c r="C25" i="1" l="1"/>
  <c r="E25" i="1" s="1"/>
  <c r="K21" i="1"/>
  <c r="L21" i="1" s="1"/>
  <c r="M21" i="1" s="1"/>
  <c r="K20" i="1"/>
  <c r="L20" i="1" s="1"/>
  <c r="M20" i="1" s="1"/>
  <c r="K19" i="1"/>
  <c r="L19" i="1" s="1"/>
  <c r="M19" i="1" s="1"/>
  <c r="K18" i="1"/>
  <c r="L18" i="1" s="1"/>
  <c r="M18" i="1" s="1"/>
  <c r="K17" i="1"/>
  <c r="L17" i="1" s="1"/>
  <c r="M17" i="1" s="1"/>
  <c r="K16" i="1"/>
  <c r="L16" i="1" s="1"/>
  <c r="M16" i="1" s="1"/>
  <c r="K13" i="1"/>
  <c r="L13" i="1" s="1"/>
  <c r="M13" i="1" s="1"/>
  <c r="K12" i="1"/>
  <c r="L12" i="1" s="1"/>
  <c r="M12" i="1" s="1"/>
  <c r="K11" i="1"/>
  <c r="L11" i="1" s="1"/>
  <c r="M11" i="1" s="1"/>
  <c r="K10" i="1"/>
  <c r="L10" i="1" s="1"/>
  <c r="M10" i="1" s="1"/>
  <c r="K9" i="1"/>
  <c r="L9" i="1" s="1"/>
  <c r="M9" i="1" s="1"/>
  <c r="G21" i="1"/>
  <c r="G20" i="1"/>
  <c r="G19" i="1"/>
  <c r="G18" i="1"/>
  <c r="G17" i="1"/>
  <c r="G16" i="1"/>
  <c r="G15" i="1"/>
  <c r="G13" i="1"/>
  <c r="G12" i="1"/>
  <c r="G11" i="1"/>
  <c r="G10" i="1"/>
  <c r="G9" i="1"/>
  <c r="N18" i="1" l="1"/>
  <c r="O18" i="1" s="1"/>
  <c r="C28" i="1" s="1"/>
  <c r="I29" i="1" s="1"/>
  <c r="M29" i="1" s="1"/>
  <c r="C30" i="1" s="1"/>
  <c r="E30" i="1" s="1"/>
  <c r="N10" i="1"/>
  <c r="O10" i="1" s="1"/>
  <c r="C23" i="1" s="1"/>
</calcChain>
</file>

<file path=xl/sharedStrings.xml><?xml version="1.0" encoding="utf-8"?>
<sst xmlns="http://schemas.openxmlformats.org/spreadsheetml/2006/main" count="74" uniqueCount="49">
  <si>
    <t>Chemsol Polymer Industries</t>
  </si>
  <si>
    <t>rmt</t>
  </si>
  <si>
    <t>Location</t>
  </si>
  <si>
    <t>coving/75*75 mm</t>
  </si>
  <si>
    <t>Client</t>
  </si>
  <si>
    <t>PO date</t>
  </si>
  <si>
    <t>2 mm epoxy</t>
  </si>
  <si>
    <t>sqm</t>
  </si>
  <si>
    <t>Sr.No.</t>
  </si>
  <si>
    <t>Material</t>
  </si>
  <si>
    <t>UOM</t>
  </si>
  <si>
    <t>Area</t>
  </si>
  <si>
    <t>Req. Qty</t>
  </si>
  <si>
    <t>Rate</t>
  </si>
  <si>
    <t>Dsicount %</t>
  </si>
  <si>
    <t>Discont amont</t>
  </si>
  <si>
    <t>Discount rate</t>
  </si>
  <si>
    <t>revised total</t>
  </si>
  <si>
    <t>ltr</t>
  </si>
  <si>
    <t xml:space="preserve">talc pawder
</t>
  </si>
  <si>
    <t>kg</t>
  </si>
  <si>
    <t>sand 80</t>
  </si>
  <si>
    <t>thinner</t>
  </si>
  <si>
    <t>chemcove with Ral 5015 sky blue</t>
  </si>
  <si>
    <t>chembase150</t>
  </si>
  <si>
    <t>chembase 150</t>
  </si>
  <si>
    <t>chemtop 1000</t>
  </si>
  <si>
    <t>set</t>
  </si>
  <si>
    <t>Ral 5015 sky blue</t>
  </si>
  <si>
    <t>tin</t>
  </si>
  <si>
    <t>per</t>
  </si>
  <si>
    <t>material cost</t>
  </si>
  <si>
    <t>application cost</t>
  </si>
  <si>
    <t>tranporation cost</t>
  </si>
  <si>
    <t>tools and tackles</t>
  </si>
  <si>
    <t>total cost</t>
  </si>
  <si>
    <t>sq mt</t>
  </si>
  <si>
    <t>Chitale Bandhu</t>
  </si>
  <si>
    <t>Pune</t>
  </si>
  <si>
    <t>CBPL/CB/26-27/0123</t>
  </si>
  <si>
    <t>Kit size qty</t>
  </si>
  <si>
    <t>final cost per sqm</t>
  </si>
  <si>
    <t>with additional charges 10%</t>
  </si>
  <si>
    <t>Systems</t>
  </si>
  <si>
    <t>Chembase 150</t>
  </si>
  <si>
    <t xml:space="preserve"> coverage</t>
  </si>
  <si>
    <t>Coving</t>
  </si>
  <si>
    <t>Converted  in per UOM</t>
  </si>
  <si>
    <t>PO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</si>
</sst>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8"/>
      <color theme="1"/>
      <name val="Calibri"/>
      <family val="2"/>
    </font>
    <font>
      <b/>
      <sz val="11"/>
      <color theme="1"/>
      <name val="Calibri"/>
      <family val="2"/>
    </font>
    <font>
      <b/>
      <i/>
      <sz val="12"/>
      <color theme="1"/>
      <name val="Calibri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</font>
    <font>
      <b/>
      <i/>
      <sz val="13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wrapText="1"/>
    </xf>
    <xf numFmtId="0" fontId="9" fillId="4" borderId="4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4" xfId="0" applyFont="1" applyBorder="1" applyAlignment="1">
      <alignment wrapText="1"/>
    </xf>
    <xf numFmtId="0" fontId="9" fillId="4" borderId="4" xfId="0" applyFont="1" applyFill="1" applyBorder="1" applyAlignment="1">
      <alignment horizontal="right" wrapText="1"/>
    </xf>
    <xf numFmtId="0" fontId="3" fillId="5" borderId="4" xfId="0" applyFont="1" applyFill="1" applyBorder="1" applyAlignment="1">
      <alignment wrapText="1"/>
    </xf>
    <xf numFmtId="0" fontId="1" fillId="0" borderId="8" xfId="0" applyFont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2" fillId="0" borderId="15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" fillId="0" borderId="16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9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1" fillId="0" borderId="21" xfId="0" applyFont="1" applyBorder="1" applyAlignment="1">
      <alignment vertical="center" wrapText="1"/>
    </xf>
    <xf numFmtId="0" fontId="3" fillId="0" borderId="20" xfId="0" applyFont="1" applyBorder="1" applyAlignment="1">
      <alignment wrapText="1"/>
    </xf>
    <xf numFmtId="9" fontId="9" fillId="0" borderId="4" xfId="0" applyNumberFormat="1" applyFont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0" fillId="0" borderId="0" xfId="0" applyAlignment="1"/>
    <xf numFmtId="0" fontId="9" fillId="4" borderId="8" xfId="0" applyFont="1" applyFill="1" applyBorder="1" applyAlignment="1">
      <alignment horizontal="center" wrapText="1"/>
    </xf>
    <xf numFmtId="0" fontId="1" fillId="0" borderId="22" xfId="0" applyFont="1" applyBorder="1" applyAlignment="1">
      <alignment vertical="center" wrapText="1"/>
    </xf>
    <xf numFmtId="0" fontId="1" fillId="5" borderId="22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wrapText="1"/>
    </xf>
    <xf numFmtId="0" fontId="0" fillId="0" borderId="0" xfId="0" applyBorder="1"/>
    <xf numFmtId="0" fontId="11" fillId="0" borderId="0" xfId="0" applyFont="1" applyBorder="1" applyAlignment="1">
      <alignment horizontal="right" vertical="center" wrapText="1"/>
    </xf>
    <xf numFmtId="0" fontId="10" fillId="5" borderId="0" xfId="0" applyFont="1" applyFill="1" applyBorder="1" applyAlignment="1">
      <alignment horizontal="right" vertical="center" wrapText="1"/>
    </xf>
    <xf numFmtId="0" fontId="3" fillId="0" borderId="0" xfId="0" applyFont="1" applyBorder="1" applyAlignment="1">
      <alignment wrapText="1"/>
    </xf>
    <xf numFmtId="0" fontId="1" fillId="5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3" fillId="7" borderId="4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9" fillId="0" borderId="16" xfId="0" applyFont="1" applyBorder="1" applyAlignment="1">
      <alignment horizontal="right" vertical="center" wrapText="1"/>
    </xf>
    <xf numFmtId="0" fontId="1" fillId="4" borderId="8" xfId="0" applyFont="1" applyFill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4" borderId="23" xfId="0" applyFont="1" applyFill="1" applyBorder="1" applyAlignment="1">
      <alignment wrapText="1"/>
    </xf>
    <xf numFmtId="0" fontId="1" fillId="0" borderId="23" xfId="0" applyFont="1" applyBorder="1" applyAlignment="1">
      <alignment vertical="center" wrapText="1"/>
    </xf>
    <xf numFmtId="0" fontId="1" fillId="4" borderId="2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wrapText="1"/>
    </xf>
    <xf numFmtId="0" fontId="1" fillId="5" borderId="26" xfId="0" applyFont="1" applyFill="1" applyBorder="1" applyAlignment="1">
      <alignment wrapText="1"/>
    </xf>
    <xf numFmtId="0" fontId="10" fillId="5" borderId="26" xfId="0" applyFont="1" applyFill="1" applyBorder="1" applyAlignment="1">
      <alignment wrapText="1"/>
    </xf>
    <xf numFmtId="0" fontId="10" fillId="2" borderId="2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vertical="center" wrapText="1"/>
    </xf>
    <xf numFmtId="0" fontId="10" fillId="0" borderId="29" xfId="0" applyFont="1" applyFill="1" applyBorder="1" applyAlignment="1">
      <alignment vertical="center" wrapText="1"/>
    </xf>
    <xf numFmtId="0" fontId="10" fillId="5" borderId="29" xfId="0" applyFont="1" applyFill="1" applyBorder="1" applyAlignment="1">
      <alignment vertical="center" wrapText="1"/>
    </xf>
    <xf numFmtId="0" fontId="10" fillId="5" borderId="29" xfId="0" applyFont="1" applyFill="1" applyBorder="1" applyAlignment="1">
      <alignment horizontal="right" wrapText="1"/>
    </xf>
    <xf numFmtId="0" fontId="1" fillId="0" borderId="31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3" fillId="0" borderId="8" xfId="0" applyFont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9" fillId="4" borderId="0" xfId="0" applyFont="1" applyFill="1" applyBorder="1" applyAlignment="1">
      <alignment horizontal="center" wrapText="1"/>
    </xf>
    <xf numFmtId="0" fontId="9" fillId="5" borderId="0" xfId="0" applyFont="1" applyFill="1" applyBorder="1" applyAlignment="1">
      <alignment horizontal="center" wrapText="1"/>
    </xf>
    <xf numFmtId="0" fontId="9" fillId="5" borderId="0" xfId="0" applyFont="1" applyFill="1" applyBorder="1" applyAlignment="1">
      <alignment wrapText="1"/>
    </xf>
    <xf numFmtId="9" fontId="9" fillId="5" borderId="0" xfId="0" applyNumberFormat="1" applyFont="1" applyFill="1" applyBorder="1" applyAlignment="1">
      <alignment wrapText="1"/>
    </xf>
    <xf numFmtId="0" fontId="1" fillId="0" borderId="32" xfId="0" applyFont="1" applyBorder="1" applyAlignment="1">
      <alignment vertical="center" wrapText="1"/>
    </xf>
    <xf numFmtId="0" fontId="9" fillId="0" borderId="8" xfId="0" applyFont="1" applyBorder="1" applyAlignment="1">
      <alignment horizontal="center" wrapText="1"/>
    </xf>
    <xf numFmtId="0" fontId="1" fillId="0" borderId="34" xfId="0" applyFont="1" applyBorder="1" applyAlignment="1">
      <alignment wrapText="1"/>
    </xf>
    <xf numFmtId="0" fontId="3" fillId="5" borderId="35" xfId="0" applyFont="1" applyFill="1" applyBorder="1" applyAlignment="1">
      <alignment wrapText="1"/>
    </xf>
    <xf numFmtId="0" fontId="1" fillId="0" borderId="36" xfId="0" applyFont="1" applyBorder="1" applyAlignment="1">
      <alignment wrapText="1"/>
    </xf>
    <xf numFmtId="0" fontId="3" fillId="0" borderId="35" xfId="0" applyFont="1" applyBorder="1" applyAlignment="1">
      <alignment horizontal="center" wrapText="1"/>
    </xf>
    <xf numFmtId="0" fontId="9" fillId="0" borderId="35" xfId="0" applyFont="1" applyBorder="1" applyAlignment="1">
      <alignment horizontal="center" wrapText="1"/>
    </xf>
    <xf numFmtId="0" fontId="9" fillId="4" borderId="35" xfId="0" applyFont="1" applyFill="1" applyBorder="1" applyAlignment="1">
      <alignment horizontal="center" wrapText="1"/>
    </xf>
    <xf numFmtId="0" fontId="9" fillId="2" borderId="35" xfId="0" applyFont="1" applyFill="1" applyBorder="1" applyAlignment="1">
      <alignment horizontal="center" wrapText="1"/>
    </xf>
    <xf numFmtId="0" fontId="9" fillId="0" borderId="35" xfId="0" applyFont="1" applyBorder="1" applyAlignment="1">
      <alignment wrapText="1"/>
    </xf>
    <xf numFmtId="9" fontId="9" fillId="0" borderId="35" xfId="0" applyNumberFormat="1" applyFont="1" applyBorder="1" applyAlignment="1">
      <alignment wrapText="1"/>
    </xf>
    <xf numFmtId="0" fontId="1" fillId="0" borderId="35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39" xfId="0" applyFont="1" applyBorder="1" applyAlignment="1">
      <alignment wrapText="1"/>
    </xf>
    <xf numFmtId="0" fontId="9" fillId="0" borderId="40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3" fillId="0" borderId="40" xfId="0" applyFont="1" applyBorder="1" applyAlignment="1">
      <alignment horizontal="center" wrapText="1"/>
    </xf>
    <xf numFmtId="0" fontId="9" fillId="4" borderId="40" xfId="0" applyFont="1" applyFill="1" applyBorder="1" applyAlignment="1">
      <alignment horizontal="center" wrapText="1"/>
    </xf>
    <xf numFmtId="0" fontId="9" fillId="2" borderId="40" xfId="0" applyFont="1" applyFill="1" applyBorder="1" applyAlignment="1">
      <alignment horizontal="center" wrapText="1"/>
    </xf>
    <xf numFmtId="9" fontId="9" fillId="0" borderId="40" xfId="0" applyNumberFormat="1" applyFont="1" applyBorder="1" applyAlignment="1">
      <alignment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wrapText="1"/>
    </xf>
    <xf numFmtId="0" fontId="2" fillId="0" borderId="18" xfId="0" applyFont="1" applyBorder="1" applyAlignment="1">
      <alignment horizontal="center" wrapText="1"/>
    </xf>
    <xf numFmtId="0" fontId="3" fillId="2" borderId="31" xfId="0" applyFont="1" applyFill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1" fillId="0" borderId="48" xfId="0" applyFont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4" fillId="0" borderId="8" xfId="0" applyFont="1" applyBorder="1" applyAlignment="1">
      <alignment horizontal="center" wrapText="1"/>
    </xf>
    <xf numFmtId="14" fontId="4" fillId="3" borderId="8" xfId="0" applyNumberFormat="1" applyFont="1" applyFill="1" applyBorder="1" applyAlignment="1">
      <alignment horizontal="center" wrapText="1"/>
    </xf>
    <xf numFmtId="0" fontId="3" fillId="0" borderId="35" xfId="0" applyFont="1" applyBorder="1" applyAlignment="1">
      <alignment wrapText="1"/>
    </xf>
    <xf numFmtId="0" fontId="1" fillId="3" borderId="36" xfId="0" applyFont="1" applyFill="1" applyBorder="1" applyAlignment="1">
      <alignment wrapText="1"/>
    </xf>
    <xf numFmtId="0" fontId="3" fillId="0" borderId="40" xfId="0" applyFont="1" applyBorder="1" applyAlignment="1">
      <alignment wrapText="1"/>
    </xf>
    <xf numFmtId="0" fontId="1" fillId="3" borderId="40" xfId="0" applyFont="1" applyFill="1" applyBorder="1" applyAlignment="1">
      <alignment wrapText="1"/>
    </xf>
    <xf numFmtId="0" fontId="5" fillId="0" borderId="46" xfId="0" applyFont="1" applyBorder="1" applyAlignment="1">
      <alignment wrapText="1"/>
    </xf>
    <xf numFmtId="0" fontId="5" fillId="0" borderId="47" xfId="0" applyFont="1" applyBorder="1" applyAlignment="1">
      <alignment wrapText="1"/>
    </xf>
    <xf numFmtId="0" fontId="6" fillId="0" borderId="38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3" fillId="4" borderId="21" xfId="0" applyFont="1" applyFill="1" applyBorder="1" applyAlignment="1">
      <alignment horizontal="center" wrapText="1"/>
    </xf>
    <xf numFmtId="0" fontId="12" fillId="7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wrapText="1"/>
    </xf>
    <xf numFmtId="0" fontId="9" fillId="0" borderId="11" xfId="0" applyFont="1" applyBorder="1" applyAlignment="1">
      <alignment horizontal="center" wrapText="1"/>
    </xf>
    <xf numFmtId="0" fontId="3" fillId="0" borderId="34" xfId="0" applyFont="1" applyFill="1" applyBorder="1" applyAlignment="1">
      <alignment horizontal="center" wrapText="1"/>
    </xf>
    <xf numFmtId="0" fontId="3" fillId="0" borderId="39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wrapText="1"/>
    </xf>
    <xf numFmtId="0" fontId="5" fillId="0" borderId="17" xfId="0" applyFont="1" applyFill="1" applyBorder="1" applyAlignment="1">
      <alignment wrapText="1"/>
    </xf>
    <xf numFmtId="0" fontId="5" fillId="0" borderId="18" xfId="0" applyFont="1" applyFill="1" applyBorder="1" applyAlignment="1">
      <alignment wrapText="1"/>
    </xf>
    <xf numFmtId="0" fontId="6" fillId="0" borderId="13" xfId="0" applyFont="1" applyFill="1" applyBorder="1" applyAlignment="1">
      <alignment wrapText="1"/>
    </xf>
    <xf numFmtId="0" fontId="7" fillId="0" borderId="49" xfId="0" applyFont="1" applyFill="1" applyBorder="1" applyAlignment="1">
      <alignment horizontal="center" wrapText="1"/>
    </xf>
    <xf numFmtId="0" fontId="7" fillId="0" borderId="50" xfId="0" applyFont="1" applyFill="1" applyBorder="1" applyAlignment="1">
      <alignment horizontal="center" wrapText="1"/>
    </xf>
    <xf numFmtId="0" fontId="7" fillId="0" borderId="14" xfId="0" applyFont="1" applyFill="1" applyBorder="1" applyAlignment="1">
      <alignment horizontal="center" wrapText="1"/>
    </xf>
    <xf numFmtId="0" fontId="3" fillId="0" borderId="35" xfId="0" applyFont="1" applyFill="1" applyBorder="1" applyAlignment="1">
      <alignment wrapText="1"/>
    </xf>
    <xf numFmtId="0" fontId="5" fillId="0" borderId="44" xfId="0" applyFont="1" applyFill="1" applyBorder="1" applyAlignment="1">
      <alignment wrapText="1"/>
    </xf>
    <xf numFmtId="0" fontId="5" fillId="0" borderId="45" xfId="0" applyFont="1" applyFill="1" applyBorder="1" applyAlignment="1">
      <alignment wrapText="1"/>
    </xf>
    <xf numFmtId="0" fontId="6" fillId="0" borderId="33" xfId="0" applyFont="1" applyFill="1" applyBorder="1" applyAlignment="1">
      <alignment wrapText="1"/>
    </xf>
    <xf numFmtId="14" fontId="6" fillId="0" borderId="51" xfId="0" applyNumberFormat="1" applyFont="1" applyFill="1" applyBorder="1" applyAlignment="1">
      <alignment vertical="center"/>
    </xf>
    <xf numFmtId="0" fontId="1" fillId="0" borderId="35" xfId="0" applyFont="1" applyFill="1" applyBorder="1" applyAlignment="1">
      <alignment wrapText="1"/>
    </xf>
    <xf numFmtId="0" fontId="1" fillId="0" borderId="37" xfId="0" applyFont="1" applyFill="1" applyBorder="1" applyAlignment="1">
      <alignment wrapText="1"/>
    </xf>
    <xf numFmtId="0" fontId="10" fillId="5" borderId="29" xfId="0" applyFont="1" applyFill="1" applyBorder="1" applyAlignment="1">
      <alignment horizontal="right" vertical="center" wrapText="1"/>
    </xf>
    <xf numFmtId="0" fontId="0" fillId="0" borderId="0" xfId="0" applyBorder="1" applyAlignment="1">
      <alignment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right" vertical="center" wrapText="1"/>
    </xf>
    <xf numFmtId="0" fontId="10" fillId="2" borderId="30" xfId="0" applyFont="1" applyFill="1" applyBorder="1" applyAlignment="1">
      <alignment horizontal="right" vertical="center" wrapText="1"/>
    </xf>
    <xf numFmtId="0" fontId="10" fillId="0" borderId="3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0"/>
  <sheetViews>
    <sheetView tabSelected="1" workbookViewId="0">
      <selection activeCell="F28" sqref="F28"/>
    </sheetView>
  </sheetViews>
  <sheetFormatPr defaultRowHeight="14.5" x14ac:dyDescent="0.35"/>
  <cols>
    <col min="1" max="1" width="7.26953125" customWidth="1"/>
    <col min="2" max="2" width="19.6328125" customWidth="1"/>
    <col min="5" max="5" width="9.6328125" bestFit="1" customWidth="1"/>
    <col min="6" max="6" width="17.54296875" customWidth="1"/>
    <col min="9" max="9" width="8.7265625" style="39"/>
    <col min="10" max="10" width="11.54296875" style="39" customWidth="1"/>
    <col min="11" max="11" width="13.54296875" style="39" customWidth="1"/>
    <col min="13" max="13" width="11.453125" customWidth="1"/>
    <col min="15" max="15" width="11.6328125" customWidth="1"/>
  </cols>
  <sheetData>
    <row r="1" spans="1:21" ht="15" thickBot="1" x14ac:dyDescent="0.4">
      <c r="A1" s="2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</row>
    <row r="2" spans="1:21" ht="24" thickBot="1" x14ac:dyDescent="0.6">
      <c r="A2" s="24"/>
      <c r="B2" s="21" t="s">
        <v>0</v>
      </c>
      <c r="C2" s="22"/>
      <c r="D2" s="22"/>
      <c r="E2" s="22"/>
      <c r="F2" s="22"/>
      <c r="G2" s="22"/>
      <c r="H2" s="22"/>
      <c r="I2" s="22"/>
      <c r="J2" s="112"/>
      <c r="K2" s="112"/>
      <c r="L2" s="112"/>
      <c r="M2" s="112"/>
      <c r="N2" s="1"/>
      <c r="O2" s="1"/>
      <c r="P2" s="1"/>
      <c r="Q2" s="1"/>
      <c r="R2" s="1"/>
      <c r="S2" s="1"/>
      <c r="T2" s="1"/>
      <c r="U2" s="1"/>
    </row>
    <row r="3" spans="1:21" ht="17.5" thickBot="1" x14ac:dyDescent="0.45">
      <c r="A3" s="133" t="s">
        <v>8</v>
      </c>
      <c r="B3" s="113" t="s">
        <v>43</v>
      </c>
      <c r="C3" s="74" t="s">
        <v>11</v>
      </c>
      <c r="D3" s="114" t="s">
        <v>10</v>
      </c>
      <c r="E3" s="119" t="s">
        <v>13</v>
      </c>
      <c r="F3" s="120">
        <v>46217</v>
      </c>
      <c r="G3" s="136" t="s">
        <v>2</v>
      </c>
      <c r="H3" s="137" t="s">
        <v>38</v>
      </c>
      <c r="I3" s="138"/>
      <c r="J3" s="139" t="s">
        <v>48</v>
      </c>
      <c r="K3" s="140" t="s">
        <v>39</v>
      </c>
      <c r="L3" s="141"/>
      <c r="M3" s="142"/>
      <c r="N3" s="83"/>
      <c r="O3" s="23"/>
      <c r="P3" s="1"/>
      <c r="Q3" s="1"/>
      <c r="R3" s="1"/>
      <c r="S3" s="1"/>
      <c r="T3" s="1"/>
      <c r="U3" s="1"/>
    </row>
    <row r="4" spans="1:21" ht="17.5" thickBot="1" x14ac:dyDescent="0.45">
      <c r="A4" s="29">
        <v>1</v>
      </c>
      <c r="B4" s="134" t="s">
        <v>3</v>
      </c>
      <c r="C4" s="88">
        <v>10</v>
      </c>
      <c r="D4" s="121" t="s">
        <v>1</v>
      </c>
      <c r="E4" s="88">
        <v>560</v>
      </c>
      <c r="F4" s="122"/>
      <c r="G4" s="143" t="s">
        <v>4</v>
      </c>
      <c r="H4" s="144" t="s">
        <v>37</v>
      </c>
      <c r="I4" s="145"/>
      <c r="J4" s="146" t="s">
        <v>5</v>
      </c>
      <c r="K4" s="147">
        <v>46217</v>
      </c>
      <c r="L4" s="148"/>
      <c r="M4" s="149"/>
      <c r="N4" s="111"/>
      <c r="O4" s="24"/>
      <c r="P4" s="30"/>
      <c r="Q4" s="1"/>
      <c r="R4" s="1"/>
      <c r="S4" s="1"/>
      <c r="T4" s="1"/>
      <c r="U4" s="1"/>
    </row>
    <row r="5" spans="1:21" ht="15" thickBot="1" x14ac:dyDescent="0.4">
      <c r="A5" s="28">
        <v>2</v>
      </c>
      <c r="B5" s="135" t="s">
        <v>6</v>
      </c>
      <c r="C5" s="99">
        <v>10</v>
      </c>
      <c r="D5" s="123" t="s">
        <v>7</v>
      </c>
      <c r="E5" s="99">
        <v>820</v>
      </c>
      <c r="F5" s="124"/>
      <c r="G5" s="98"/>
      <c r="H5" s="125"/>
      <c r="I5" s="126"/>
      <c r="J5" s="127"/>
      <c r="K5" s="98"/>
      <c r="L5" s="98"/>
      <c r="M5" s="128"/>
      <c r="N5" s="58"/>
      <c r="O5" s="24"/>
      <c r="P5" s="83"/>
      <c r="Q5" s="23"/>
      <c r="R5" s="23"/>
      <c r="S5" s="23"/>
      <c r="T5" s="23"/>
      <c r="U5" s="23"/>
    </row>
    <row r="6" spans="1:21" s="44" customFormat="1" ht="15" thickBot="1" x14ac:dyDescent="0.4">
      <c r="A6" s="26"/>
      <c r="F6" s="116"/>
      <c r="G6" s="116"/>
      <c r="H6" s="116"/>
      <c r="I6" s="116"/>
      <c r="J6" s="117"/>
      <c r="K6" s="118"/>
      <c r="L6" s="118"/>
      <c r="M6" s="118"/>
      <c r="N6" s="59"/>
      <c r="O6" s="24"/>
      <c r="P6" s="24"/>
      <c r="Q6" s="24"/>
      <c r="R6" s="24"/>
      <c r="S6" s="24"/>
      <c r="T6" s="24"/>
      <c r="U6" s="24"/>
    </row>
    <row r="7" spans="1:21" ht="29.5" thickBot="1" x14ac:dyDescent="0.4">
      <c r="A7" s="32" t="s">
        <v>8</v>
      </c>
      <c r="B7" s="33" t="s">
        <v>9</v>
      </c>
      <c r="C7" s="33" t="s">
        <v>10</v>
      </c>
      <c r="D7" s="33"/>
      <c r="E7" s="33" t="s">
        <v>11</v>
      </c>
      <c r="F7" s="33" t="s">
        <v>45</v>
      </c>
      <c r="G7" s="33" t="s">
        <v>12</v>
      </c>
      <c r="H7" s="34" t="s">
        <v>40</v>
      </c>
      <c r="I7" s="36" t="s">
        <v>13</v>
      </c>
      <c r="J7" s="36" t="s">
        <v>14</v>
      </c>
      <c r="K7" s="36" t="s">
        <v>15</v>
      </c>
      <c r="L7" s="33" t="s">
        <v>16</v>
      </c>
      <c r="M7" s="129" t="s">
        <v>17</v>
      </c>
      <c r="N7" s="24"/>
      <c r="O7" s="24"/>
      <c r="P7" s="115"/>
      <c r="Q7" s="41"/>
      <c r="R7" s="41"/>
      <c r="S7" s="41"/>
      <c r="T7" s="41"/>
      <c r="U7" s="41"/>
    </row>
    <row r="8" spans="1:21" ht="15" thickBot="1" x14ac:dyDescent="0.4">
      <c r="A8" s="130">
        <v>1</v>
      </c>
      <c r="B8" s="131" t="s">
        <v>3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31"/>
      <c r="O8" s="41"/>
      <c r="P8" s="1"/>
      <c r="Q8" s="1"/>
      <c r="R8" s="1"/>
      <c r="S8" s="1"/>
      <c r="T8" s="1"/>
      <c r="U8" s="1"/>
    </row>
    <row r="9" spans="1:21" ht="25.5" thickBot="1" x14ac:dyDescent="0.4">
      <c r="A9" s="27"/>
      <c r="B9" s="9" t="s">
        <v>44</v>
      </c>
      <c r="C9" s="5" t="s">
        <v>18</v>
      </c>
      <c r="D9" s="5"/>
      <c r="E9" s="3">
        <v>10</v>
      </c>
      <c r="F9" s="10">
        <v>2</v>
      </c>
      <c r="G9" s="11">
        <f>E9*F9</f>
        <v>20</v>
      </c>
      <c r="H9" s="12">
        <v>30</v>
      </c>
      <c r="I9" s="14">
        <v>520</v>
      </c>
      <c r="J9" s="37">
        <v>0.1</v>
      </c>
      <c r="K9" s="14">
        <f>I9*J9</f>
        <v>52</v>
      </c>
      <c r="L9" s="11">
        <f>I9-K9</f>
        <v>468</v>
      </c>
      <c r="M9" s="12">
        <f>H9*L9</f>
        <v>14040</v>
      </c>
      <c r="N9" s="53"/>
      <c r="O9" s="54" t="s">
        <v>47</v>
      </c>
      <c r="P9" s="1"/>
      <c r="Q9" s="1"/>
      <c r="R9" s="1"/>
      <c r="S9" s="1"/>
      <c r="T9" s="1"/>
      <c r="U9" s="1"/>
    </row>
    <row r="10" spans="1:21" ht="29.5" thickBot="1" x14ac:dyDescent="0.4">
      <c r="A10" s="27"/>
      <c r="B10" s="9" t="s">
        <v>19</v>
      </c>
      <c r="C10" s="5" t="s">
        <v>20</v>
      </c>
      <c r="D10" s="5"/>
      <c r="E10" s="3">
        <v>10</v>
      </c>
      <c r="F10" s="10">
        <v>1.2</v>
      </c>
      <c r="G10" s="11">
        <f t="shared" ref="G10:G21" si="0">E10*F10</f>
        <v>12</v>
      </c>
      <c r="H10" s="12">
        <v>20</v>
      </c>
      <c r="I10" s="14">
        <v>25</v>
      </c>
      <c r="J10" s="37">
        <v>0.1</v>
      </c>
      <c r="K10" s="14">
        <f t="shared" ref="K10:K13" si="1">I10*J10</f>
        <v>2.5</v>
      </c>
      <c r="L10" s="11">
        <f t="shared" ref="L10:L13" si="2">I10-K10</f>
        <v>22.5</v>
      </c>
      <c r="M10" s="51">
        <f t="shared" ref="M10:M21" si="3">H10*L10</f>
        <v>450</v>
      </c>
      <c r="N10" s="57">
        <f>M9+M10+M11+M12+M13</f>
        <v>17343</v>
      </c>
      <c r="O10" s="35">
        <f>N10/E10</f>
        <v>1734.3</v>
      </c>
      <c r="P10" s="52"/>
      <c r="Q10" s="13"/>
      <c r="R10" s="1"/>
      <c r="S10" s="1"/>
      <c r="T10" s="1"/>
      <c r="U10" s="1"/>
    </row>
    <row r="11" spans="1:21" ht="15" thickBot="1" x14ac:dyDescent="0.4">
      <c r="A11" s="27"/>
      <c r="B11" s="9" t="s">
        <v>21</v>
      </c>
      <c r="C11" s="5" t="s">
        <v>20</v>
      </c>
      <c r="D11" s="5"/>
      <c r="E11" s="3">
        <v>10</v>
      </c>
      <c r="F11" s="10">
        <v>2</v>
      </c>
      <c r="G11" s="11">
        <f t="shared" si="0"/>
        <v>20</v>
      </c>
      <c r="H11" s="12">
        <v>20</v>
      </c>
      <c r="I11" s="14">
        <v>25</v>
      </c>
      <c r="J11" s="37">
        <v>0.1</v>
      </c>
      <c r="K11" s="14">
        <f t="shared" si="1"/>
        <v>2.5</v>
      </c>
      <c r="L11" s="11">
        <f t="shared" si="2"/>
        <v>22.5</v>
      </c>
      <c r="M11" s="12">
        <f t="shared" si="3"/>
        <v>450</v>
      </c>
      <c r="N11" s="55"/>
      <c r="O11" s="56"/>
      <c r="P11" s="13"/>
      <c r="Q11" s="13"/>
      <c r="R11" s="1"/>
      <c r="S11" s="1"/>
      <c r="T11" s="1"/>
      <c r="U11" s="1"/>
    </row>
    <row r="12" spans="1:21" ht="15" thickBot="1" x14ac:dyDescent="0.4">
      <c r="A12" s="27"/>
      <c r="B12" s="14" t="s">
        <v>22</v>
      </c>
      <c r="C12" s="5" t="s">
        <v>18</v>
      </c>
      <c r="D12" s="5"/>
      <c r="E12" s="3">
        <v>10</v>
      </c>
      <c r="F12" s="10">
        <v>0.03</v>
      </c>
      <c r="G12" s="11">
        <f t="shared" si="0"/>
        <v>0.3</v>
      </c>
      <c r="H12" s="12">
        <v>1</v>
      </c>
      <c r="I12" s="14">
        <v>210</v>
      </c>
      <c r="J12" s="37">
        <v>0.1</v>
      </c>
      <c r="K12" s="14">
        <f t="shared" si="1"/>
        <v>21</v>
      </c>
      <c r="L12" s="11">
        <f t="shared" si="2"/>
        <v>189</v>
      </c>
      <c r="M12" s="12">
        <f t="shared" si="3"/>
        <v>189</v>
      </c>
      <c r="N12" s="7"/>
      <c r="O12" s="18"/>
      <c r="P12" s="13"/>
      <c r="Q12" s="13"/>
      <c r="R12" s="1"/>
      <c r="S12" s="1"/>
      <c r="T12" s="1"/>
      <c r="U12" s="1"/>
    </row>
    <row r="13" spans="1:21" ht="29.5" thickBot="1" x14ac:dyDescent="0.4">
      <c r="A13" s="27"/>
      <c r="B13" s="16" t="s">
        <v>23</v>
      </c>
      <c r="C13" s="5" t="s">
        <v>18</v>
      </c>
      <c r="D13" s="5"/>
      <c r="E13" s="3">
        <v>10</v>
      </c>
      <c r="F13" s="10">
        <v>0.3</v>
      </c>
      <c r="G13" s="11">
        <f t="shared" si="0"/>
        <v>3</v>
      </c>
      <c r="H13" s="12">
        <v>3</v>
      </c>
      <c r="I13" s="38">
        <v>820</v>
      </c>
      <c r="J13" s="37">
        <v>0.1</v>
      </c>
      <c r="K13" s="14">
        <f t="shared" si="1"/>
        <v>82</v>
      </c>
      <c r="L13" s="11">
        <f t="shared" si="2"/>
        <v>738</v>
      </c>
      <c r="M13" s="12">
        <f t="shared" si="3"/>
        <v>2214</v>
      </c>
      <c r="N13" s="15"/>
      <c r="O13" s="20"/>
      <c r="P13" s="13"/>
      <c r="Q13" s="13"/>
      <c r="R13" s="1"/>
      <c r="S13" s="1"/>
      <c r="T13" s="1"/>
      <c r="U13" s="1"/>
    </row>
    <row r="14" spans="1:21" ht="15" thickBot="1" x14ac:dyDescent="0.4">
      <c r="A14" s="27"/>
      <c r="B14" s="16"/>
      <c r="C14" s="5"/>
      <c r="D14" s="5"/>
      <c r="E14" s="3"/>
      <c r="F14" s="10"/>
      <c r="G14" s="11"/>
      <c r="H14" s="12"/>
      <c r="I14" s="38"/>
      <c r="J14" s="37"/>
      <c r="K14" s="14"/>
      <c r="L14" s="11"/>
      <c r="M14" s="12"/>
      <c r="N14" s="15"/>
      <c r="O14" s="20"/>
      <c r="P14" s="13"/>
      <c r="Q14" s="13"/>
      <c r="R14" s="1"/>
      <c r="S14" s="1"/>
      <c r="T14" s="1"/>
      <c r="U14" s="1"/>
    </row>
    <row r="15" spans="1:21" ht="15" thickBot="1" x14ac:dyDescent="0.4">
      <c r="A15" s="28">
        <v>2</v>
      </c>
      <c r="B15" s="50" t="s">
        <v>6</v>
      </c>
      <c r="C15" s="5"/>
      <c r="D15" s="5"/>
      <c r="E15" s="3"/>
      <c r="F15" s="5"/>
      <c r="G15" s="11">
        <f t="shared" si="0"/>
        <v>0</v>
      </c>
      <c r="H15" s="6"/>
      <c r="I15" s="5"/>
      <c r="J15" s="5"/>
      <c r="K15" s="5"/>
      <c r="L15" s="5"/>
      <c r="M15" s="12"/>
      <c r="N15" s="8"/>
      <c r="O15" s="8"/>
      <c r="P15" s="1"/>
      <c r="Q15" s="1"/>
      <c r="R15" s="1"/>
      <c r="S15" s="1"/>
      <c r="T15" s="1"/>
      <c r="U15" s="1"/>
    </row>
    <row r="16" spans="1:21" ht="15" thickBot="1" x14ac:dyDescent="0.4">
      <c r="A16" s="27"/>
      <c r="B16" s="14" t="s">
        <v>24</v>
      </c>
      <c r="C16" s="4" t="s">
        <v>18</v>
      </c>
      <c r="D16" s="4"/>
      <c r="E16" s="3">
        <v>10</v>
      </c>
      <c r="F16" s="10">
        <v>0.2</v>
      </c>
      <c r="G16" s="11">
        <f t="shared" si="0"/>
        <v>2</v>
      </c>
      <c r="H16" s="12">
        <v>3</v>
      </c>
      <c r="I16" s="14">
        <v>520</v>
      </c>
      <c r="J16" s="37">
        <v>0.1</v>
      </c>
      <c r="K16" s="14">
        <f t="shared" ref="K16:K21" si="4">I16*J16</f>
        <v>52</v>
      </c>
      <c r="L16" s="11">
        <f t="shared" ref="L16:L21" si="5">I16-K16</f>
        <v>468</v>
      </c>
      <c r="M16" s="12">
        <f t="shared" si="3"/>
        <v>1404</v>
      </c>
      <c r="N16" s="8"/>
      <c r="O16" s="8"/>
      <c r="P16" s="1"/>
      <c r="Q16" s="1"/>
      <c r="R16" s="1"/>
      <c r="S16" s="1"/>
      <c r="T16" s="1"/>
      <c r="U16" s="1"/>
    </row>
    <row r="17" spans="1:21" ht="15" thickBot="1" x14ac:dyDescent="0.4">
      <c r="A17" s="27"/>
      <c r="B17" s="14" t="s">
        <v>25</v>
      </c>
      <c r="C17" s="4" t="s">
        <v>18</v>
      </c>
      <c r="D17" s="4"/>
      <c r="E17" s="3">
        <v>10</v>
      </c>
      <c r="F17" s="10">
        <v>0.7</v>
      </c>
      <c r="G17" s="11">
        <f t="shared" si="0"/>
        <v>7</v>
      </c>
      <c r="H17" s="12">
        <v>9</v>
      </c>
      <c r="I17" s="14">
        <v>520</v>
      </c>
      <c r="J17" s="37">
        <v>0.1</v>
      </c>
      <c r="K17" s="14">
        <f t="shared" si="4"/>
        <v>52</v>
      </c>
      <c r="L17" s="11">
        <f t="shared" si="5"/>
        <v>468</v>
      </c>
      <c r="M17" s="12">
        <f t="shared" si="3"/>
        <v>4212</v>
      </c>
      <c r="N17" s="8"/>
      <c r="O17" s="8"/>
      <c r="P17" s="1"/>
      <c r="Q17" s="1"/>
      <c r="R17" s="1"/>
      <c r="S17" s="1"/>
      <c r="T17" s="1"/>
      <c r="U17" s="1"/>
    </row>
    <row r="18" spans="1:21" ht="15" thickBot="1" x14ac:dyDescent="0.4">
      <c r="A18" s="27"/>
      <c r="B18" s="10" t="s">
        <v>21</v>
      </c>
      <c r="C18" s="4" t="s">
        <v>20</v>
      </c>
      <c r="D18" s="4"/>
      <c r="E18" s="3">
        <v>10</v>
      </c>
      <c r="F18" s="10">
        <v>1.4</v>
      </c>
      <c r="G18" s="11">
        <f t="shared" si="0"/>
        <v>14</v>
      </c>
      <c r="H18" s="12">
        <v>20</v>
      </c>
      <c r="I18" s="14">
        <v>25</v>
      </c>
      <c r="J18" s="37">
        <v>0.1</v>
      </c>
      <c r="K18" s="14">
        <f t="shared" si="4"/>
        <v>2.5</v>
      </c>
      <c r="L18" s="11">
        <f t="shared" si="5"/>
        <v>22.5</v>
      </c>
      <c r="M18" s="12">
        <f t="shared" si="3"/>
        <v>450</v>
      </c>
      <c r="N18" s="8">
        <f>M16+M17+M18+M19+M20+M21</f>
        <v>11245.5</v>
      </c>
      <c r="O18" s="8">
        <f>N18/E16</f>
        <v>1124.55</v>
      </c>
      <c r="P18" s="1"/>
      <c r="Q18" s="1"/>
      <c r="R18" s="1"/>
      <c r="S18" s="1"/>
      <c r="T18" s="1"/>
      <c r="U18" s="1"/>
    </row>
    <row r="19" spans="1:21" ht="15" thickBot="1" x14ac:dyDescent="0.4">
      <c r="A19" s="72"/>
      <c r="B19" s="73" t="s">
        <v>26</v>
      </c>
      <c r="C19" s="25" t="s">
        <v>27</v>
      </c>
      <c r="D19" s="25"/>
      <c r="E19" s="74">
        <v>10</v>
      </c>
      <c r="F19" s="84">
        <v>0.08</v>
      </c>
      <c r="G19" s="40">
        <f t="shared" si="0"/>
        <v>0.8</v>
      </c>
      <c r="H19" s="75">
        <v>1</v>
      </c>
      <c r="I19" s="73">
        <v>5200</v>
      </c>
      <c r="J19" s="76">
        <v>0.1</v>
      </c>
      <c r="K19" s="73">
        <f t="shared" si="4"/>
        <v>520</v>
      </c>
      <c r="L19" s="40">
        <f t="shared" si="5"/>
        <v>4680</v>
      </c>
      <c r="M19" s="75">
        <f t="shared" si="3"/>
        <v>4680</v>
      </c>
      <c r="N19" s="17"/>
      <c r="O19" s="17"/>
      <c r="P19" s="1"/>
      <c r="Q19" s="1"/>
      <c r="R19" s="1"/>
      <c r="S19" s="1"/>
      <c r="T19" s="1"/>
      <c r="U19" s="1"/>
    </row>
    <row r="20" spans="1:21" ht="15" thickBot="1" x14ac:dyDescent="0.4">
      <c r="A20" s="85"/>
      <c r="B20" s="86" t="s">
        <v>28</v>
      </c>
      <c r="C20" s="87" t="s">
        <v>29</v>
      </c>
      <c r="D20" s="87"/>
      <c r="E20" s="88">
        <v>10</v>
      </c>
      <c r="F20" s="89">
        <v>0.08</v>
      </c>
      <c r="G20" s="90">
        <f t="shared" si="0"/>
        <v>0.8</v>
      </c>
      <c r="H20" s="91">
        <v>1</v>
      </c>
      <c r="I20" s="92">
        <v>450</v>
      </c>
      <c r="J20" s="93">
        <v>0.1</v>
      </c>
      <c r="K20" s="92">
        <f t="shared" si="4"/>
        <v>45</v>
      </c>
      <c r="L20" s="90">
        <f t="shared" si="5"/>
        <v>405</v>
      </c>
      <c r="M20" s="91">
        <f t="shared" si="3"/>
        <v>405</v>
      </c>
      <c r="N20" s="94"/>
      <c r="O20" s="95"/>
      <c r="P20" s="30"/>
      <c r="Q20" s="1"/>
      <c r="R20" s="1"/>
      <c r="S20" s="1"/>
      <c r="T20" s="1"/>
      <c r="U20" s="1"/>
    </row>
    <row r="21" spans="1:21" ht="15" thickBot="1" x14ac:dyDescent="0.4">
      <c r="A21" s="96"/>
      <c r="B21" s="97" t="s">
        <v>22</v>
      </c>
      <c r="C21" s="98" t="s">
        <v>18</v>
      </c>
      <c r="D21" s="98"/>
      <c r="E21" s="99">
        <v>10</v>
      </c>
      <c r="F21" s="99">
        <v>0.02</v>
      </c>
      <c r="G21" s="100">
        <f t="shared" si="0"/>
        <v>0.2</v>
      </c>
      <c r="H21" s="101">
        <v>0.5</v>
      </c>
      <c r="I21" s="97">
        <v>210</v>
      </c>
      <c r="J21" s="102">
        <v>0.1</v>
      </c>
      <c r="K21" s="97">
        <f t="shared" si="4"/>
        <v>21</v>
      </c>
      <c r="L21" s="100">
        <f t="shared" si="5"/>
        <v>189</v>
      </c>
      <c r="M21" s="101">
        <f t="shared" si="3"/>
        <v>94.5</v>
      </c>
      <c r="N21" s="103"/>
      <c r="O21" s="104"/>
      <c r="P21" s="83"/>
      <c r="Q21" s="23"/>
      <c r="R21" s="23"/>
      <c r="S21" s="23"/>
      <c r="T21" s="23"/>
      <c r="U21" s="23"/>
    </row>
    <row r="22" spans="1:21" s="44" customFormat="1" ht="15" thickBot="1" x14ac:dyDescent="0.4">
      <c r="A22" s="26"/>
      <c r="B22" s="77"/>
      <c r="C22" s="26"/>
      <c r="D22" s="26"/>
      <c r="E22" s="78"/>
      <c r="F22" s="78"/>
      <c r="G22" s="79"/>
      <c r="H22" s="80"/>
      <c r="I22" s="81"/>
      <c r="J22" s="82"/>
      <c r="K22" s="81"/>
      <c r="L22" s="80"/>
      <c r="M22" s="80"/>
      <c r="N22" s="24"/>
      <c r="O22" s="24"/>
      <c r="P22" s="24"/>
      <c r="Q22" s="24"/>
      <c r="R22" s="24"/>
      <c r="S22" s="24"/>
      <c r="T22" s="24"/>
      <c r="U22" s="24"/>
    </row>
    <row r="23" spans="1:21" s="44" customFormat="1" ht="39" x14ac:dyDescent="0.35">
      <c r="A23" s="26"/>
      <c r="B23" s="60" t="s">
        <v>46</v>
      </c>
      <c r="C23" s="61">
        <f>O10</f>
        <v>1734.3</v>
      </c>
      <c r="D23" s="61" t="s">
        <v>30</v>
      </c>
      <c r="E23" s="61" t="s">
        <v>1</v>
      </c>
      <c r="F23" s="62"/>
      <c r="G23" s="63"/>
      <c r="H23" s="64"/>
      <c r="I23" s="107" t="s">
        <v>31</v>
      </c>
      <c r="J23" s="107" t="s">
        <v>32</v>
      </c>
      <c r="K23" s="107" t="s">
        <v>33</v>
      </c>
      <c r="L23" s="152" t="s">
        <v>34</v>
      </c>
      <c r="M23" s="65" t="s">
        <v>35</v>
      </c>
      <c r="N23" s="26"/>
      <c r="O23" s="24"/>
      <c r="P23" s="24"/>
      <c r="Q23" s="24"/>
      <c r="R23" s="24"/>
      <c r="S23" s="24"/>
      <c r="T23" s="24"/>
      <c r="U23" s="24"/>
    </row>
    <row r="24" spans="1:21" s="44" customFormat="1" ht="30.65" customHeight="1" thickBot="1" x14ac:dyDescent="0.4">
      <c r="A24" s="24"/>
      <c r="B24" s="66"/>
      <c r="C24" s="67" t="s">
        <v>42</v>
      </c>
      <c r="D24" s="67"/>
      <c r="E24" s="68" t="s">
        <v>41</v>
      </c>
      <c r="F24" s="69"/>
      <c r="G24" s="70"/>
      <c r="H24" s="71"/>
      <c r="I24" s="109">
        <v>112.09</v>
      </c>
      <c r="J24" s="109">
        <v>110</v>
      </c>
      <c r="K24" s="109">
        <v>10</v>
      </c>
      <c r="L24" s="153">
        <v>10</v>
      </c>
      <c r="M24" s="154">
        <f>I24+J24+K24+L24</f>
        <v>242.09</v>
      </c>
      <c r="N24" s="58"/>
      <c r="O24" s="59"/>
      <c r="P24" s="59"/>
      <c r="Q24" s="59"/>
      <c r="R24" s="24"/>
      <c r="S24" s="24"/>
      <c r="T24" s="24"/>
      <c r="U24" s="24"/>
    </row>
    <row r="25" spans="1:21" s="44" customFormat="1" ht="18.5" x14ac:dyDescent="0.35">
      <c r="A25" s="24"/>
      <c r="B25" s="26"/>
      <c r="C25" s="45">
        <f>M24*10/100</f>
        <v>24.209</v>
      </c>
      <c r="D25" s="24"/>
      <c r="E25" s="45">
        <f>M24+C25</f>
        <v>266.29899999999998</v>
      </c>
      <c r="F25" s="24"/>
      <c r="G25" s="46"/>
      <c r="H25" s="43"/>
      <c r="I25" s="26"/>
      <c r="J25" s="47"/>
      <c r="K25" s="58"/>
      <c r="L25" s="58"/>
      <c r="M25" s="58"/>
      <c r="N25" s="24"/>
      <c r="O25" s="24"/>
      <c r="P25" s="24"/>
      <c r="Q25" s="24"/>
      <c r="R25" s="24"/>
      <c r="S25" s="24"/>
      <c r="T25" s="24"/>
      <c r="U25" s="24"/>
    </row>
    <row r="26" spans="1:21" s="44" customFormat="1" x14ac:dyDescent="0.35">
      <c r="A26" s="24"/>
      <c r="B26" s="26"/>
      <c r="C26" s="24"/>
      <c r="D26" s="24"/>
      <c r="E26" s="24"/>
      <c r="F26" s="24"/>
      <c r="G26" s="48"/>
      <c r="H26" s="48"/>
      <c r="I26" s="24"/>
      <c r="J26" s="24"/>
      <c r="K26" s="58"/>
      <c r="L26" s="58"/>
      <c r="M26" s="59"/>
      <c r="N26" s="24"/>
      <c r="O26" s="24"/>
      <c r="P26" s="24"/>
      <c r="Q26" s="24"/>
      <c r="R26" s="24"/>
      <c r="S26" s="24"/>
      <c r="T26" s="24"/>
      <c r="U26" s="24"/>
    </row>
    <row r="27" spans="1:21" s="44" customFormat="1" ht="15" thickBot="1" x14ac:dyDescent="0.4">
      <c r="A27" s="24"/>
      <c r="B27" s="24"/>
      <c r="C27" s="24"/>
      <c r="D27" s="24"/>
      <c r="E27" s="24"/>
      <c r="F27" s="24"/>
      <c r="G27" s="48"/>
      <c r="H27" s="48"/>
      <c r="I27" s="24"/>
      <c r="J27" s="24"/>
      <c r="K27" s="59"/>
      <c r="L27" s="59"/>
      <c r="M27" s="59"/>
      <c r="N27" s="24"/>
      <c r="O27" s="24"/>
      <c r="P27" s="24"/>
      <c r="Q27" s="24"/>
      <c r="R27" s="24"/>
      <c r="S27" s="24"/>
      <c r="T27" s="24"/>
      <c r="U27" s="24"/>
    </row>
    <row r="28" spans="1:21" s="44" customFormat="1" ht="46.5" x14ac:dyDescent="0.35">
      <c r="A28" s="24"/>
      <c r="B28" s="105" t="s">
        <v>6</v>
      </c>
      <c r="C28" s="61">
        <f>O18</f>
        <v>1124.55</v>
      </c>
      <c r="D28" s="61" t="s">
        <v>30</v>
      </c>
      <c r="E28" s="61" t="s">
        <v>36</v>
      </c>
      <c r="F28" s="106"/>
      <c r="G28" s="63"/>
      <c r="H28" s="64"/>
      <c r="I28" s="107" t="s">
        <v>31</v>
      </c>
      <c r="J28" s="107" t="s">
        <v>32</v>
      </c>
      <c r="K28" s="107" t="s">
        <v>33</v>
      </c>
      <c r="L28" s="107" t="s">
        <v>34</v>
      </c>
      <c r="M28" s="65" t="s">
        <v>35</v>
      </c>
      <c r="N28" s="24"/>
      <c r="O28" s="24"/>
      <c r="P28" s="24"/>
      <c r="Q28" s="24"/>
      <c r="R28" s="24"/>
      <c r="S28" s="24"/>
      <c r="T28" s="24"/>
      <c r="U28" s="24"/>
    </row>
    <row r="29" spans="1:21" s="151" customFormat="1" ht="42" customHeight="1" thickBot="1" x14ac:dyDescent="0.4">
      <c r="A29" s="24"/>
      <c r="B29" s="108"/>
      <c r="C29" s="67" t="s">
        <v>42</v>
      </c>
      <c r="D29" s="67"/>
      <c r="E29" s="68" t="s">
        <v>41</v>
      </c>
      <c r="F29" s="69"/>
      <c r="G29" s="70"/>
      <c r="H29" s="150"/>
      <c r="I29" s="69">
        <f>C28</f>
        <v>1124.55</v>
      </c>
      <c r="J29" s="69">
        <v>120</v>
      </c>
      <c r="K29" s="69">
        <v>40</v>
      </c>
      <c r="L29" s="69">
        <v>10</v>
      </c>
      <c r="M29" s="155">
        <f>I29+J29+K29+L29</f>
        <v>1294.55</v>
      </c>
      <c r="N29" s="49"/>
      <c r="O29" s="24"/>
      <c r="P29" s="24"/>
      <c r="Q29" s="24"/>
      <c r="R29" s="24"/>
      <c r="S29" s="24"/>
      <c r="T29" s="24"/>
      <c r="U29" s="24"/>
    </row>
    <row r="30" spans="1:21" s="44" customFormat="1" ht="18.5" x14ac:dyDescent="0.35">
      <c r="A30" s="24"/>
      <c r="B30" s="24"/>
      <c r="C30" s="45">
        <f>M29*10/100</f>
        <v>129.45500000000001</v>
      </c>
      <c r="D30" s="24"/>
      <c r="E30" s="45">
        <f>M29+C30</f>
        <v>1424.0049999999999</v>
      </c>
      <c r="F30" s="24"/>
      <c r="G30" s="46"/>
      <c r="H30" s="43"/>
      <c r="I30" s="26"/>
      <c r="J30" s="26"/>
      <c r="K30" s="58"/>
      <c r="L30" s="58"/>
      <c r="M30" s="58"/>
      <c r="N30" s="110"/>
      <c r="O30" s="24"/>
      <c r="P30" s="24"/>
      <c r="Q30" s="24"/>
      <c r="R30" s="24"/>
      <c r="S30" s="24"/>
      <c r="T30" s="24"/>
      <c r="U30" s="24"/>
    </row>
    <row r="31" spans="1:21" s="44" customFormat="1" x14ac:dyDescent="0.35">
      <c r="A31" s="24"/>
      <c r="B31" s="24"/>
      <c r="C31" s="24"/>
      <c r="D31" s="24"/>
      <c r="E31" s="24"/>
      <c r="F31" s="24"/>
      <c r="G31" s="48"/>
      <c r="H31" s="48"/>
      <c r="I31" s="24"/>
      <c r="J31" s="24"/>
      <c r="K31" s="59"/>
      <c r="L31" s="58"/>
      <c r="M31" s="59"/>
      <c r="N31" s="59"/>
      <c r="O31" s="24"/>
      <c r="P31" s="24"/>
      <c r="Q31" s="24"/>
      <c r="R31" s="24"/>
      <c r="S31" s="24"/>
      <c r="T31" s="24"/>
      <c r="U31" s="24"/>
    </row>
    <row r="32" spans="1:21" ht="15" thickBot="1" x14ac:dyDescent="0.4">
      <c r="A32" s="41"/>
      <c r="B32" s="41"/>
      <c r="C32" s="41"/>
      <c r="D32" s="41"/>
      <c r="E32" s="41"/>
      <c r="F32" s="41"/>
      <c r="G32" s="42"/>
      <c r="H32" s="42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</row>
    <row r="33" spans="1:21" ht="15" thickBot="1" x14ac:dyDescent="0.4">
      <c r="A33" s="1"/>
      <c r="B33" s="1"/>
      <c r="C33" s="1"/>
      <c r="D33" s="1"/>
      <c r="E33" s="1"/>
      <c r="F33" s="1"/>
      <c r="G33" s="19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</sheetData>
  <mergeCells count="11">
    <mergeCell ref="B23:B24"/>
    <mergeCell ref="B28:B29"/>
    <mergeCell ref="F6:I6"/>
    <mergeCell ref="K6:M6"/>
    <mergeCell ref="C24:D24"/>
    <mergeCell ref="C29:D29"/>
    <mergeCell ref="B2:M2"/>
    <mergeCell ref="H3:I3"/>
    <mergeCell ref="K3:M3"/>
    <mergeCell ref="H4:I4"/>
    <mergeCell ref="H5:I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2026-07-14T09:49:59Z</dcterms:modified>
</cp:coreProperties>
</file>